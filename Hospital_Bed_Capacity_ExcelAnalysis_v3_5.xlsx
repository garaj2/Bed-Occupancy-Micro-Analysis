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es\Desktop\Synthetic Hospital ICU Excel Project Data\"/>
    </mc:Choice>
  </mc:AlternateContent>
  <xr:revisionPtr revIDLastSave="0" documentId="13_ncr:9_{73FFA0A3-A18B-4F0E-B9C2-EFB6828FD266}" xr6:coauthVersionLast="47" xr6:coauthVersionMax="47" xr10:uidLastSave="{00000000-0000-0000-0000-000000000000}"/>
  <bookViews>
    <workbookView xWindow="-110" yWindow="-110" windowWidth="19420" windowHeight="10300" activeTab="1" xr2:uid="{1AC387F0-B9D7-4924-8D6D-E90A78DD8542}"/>
  </bookViews>
  <sheets>
    <sheet name="Hospital_Bed_Capacity_ExcelAnal" sheetId="1" r:id="rId1"/>
    <sheet name="Sheet1" sheetId="2" r:id="rId2"/>
  </sheets>
  <definedNames>
    <definedName name="_xlnm._FilterDatabase" localSheetId="0" hidden="1">Hospital_Bed_Capacity_ExcelAnal!$A$32:$H$57</definedName>
  </definedNames>
  <calcPr calcId="0"/>
</workbook>
</file>

<file path=xl/calcChain.xml><?xml version="1.0" encoding="utf-8"?>
<calcChain xmlns="http://schemas.openxmlformats.org/spreadsheetml/2006/main">
  <c r="G36" i="1" l="1"/>
  <c r="H38" i="1"/>
  <c r="G41" i="1"/>
  <c r="H41" i="1"/>
  <c r="G44" i="1"/>
  <c r="G46" i="1"/>
  <c r="H46" i="1"/>
  <c r="G49" i="1"/>
  <c r="H49" i="1"/>
  <c r="H51" i="1"/>
  <c r="G52" i="1"/>
  <c r="G54" i="1"/>
  <c r="H54" i="1"/>
  <c r="B34" i="1"/>
  <c r="C34" i="1"/>
  <c r="G55" i="1" s="1"/>
  <c r="D34" i="1"/>
  <c r="H55" i="1" s="1"/>
  <c r="B35" i="1"/>
  <c r="C35" i="1"/>
  <c r="G38" i="1" s="1"/>
  <c r="D35" i="1"/>
  <c r="B36" i="1"/>
  <c r="C36" i="1"/>
  <c r="G48" i="1" s="1"/>
  <c r="D36" i="1"/>
  <c r="H48" i="1" s="1"/>
  <c r="B37" i="1"/>
  <c r="C37" i="1"/>
  <c r="D37" i="1"/>
  <c r="B38" i="1"/>
  <c r="C38" i="1"/>
  <c r="D38" i="1"/>
  <c r="B39" i="1"/>
  <c r="C39" i="1"/>
  <c r="G56" i="1" s="1"/>
  <c r="D39" i="1"/>
  <c r="H56" i="1" s="1"/>
  <c r="B40" i="1"/>
  <c r="C40" i="1"/>
  <c r="G33" i="1" s="1"/>
  <c r="D40" i="1"/>
  <c r="H33" i="1" s="1"/>
  <c r="B41" i="1"/>
  <c r="F41" i="1" s="1"/>
  <c r="C41" i="1"/>
  <c r="G50" i="1" s="1"/>
  <c r="D41" i="1"/>
  <c r="H50" i="1" s="1"/>
  <c r="B42" i="1"/>
  <c r="C42" i="1"/>
  <c r="G43" i="1" s="1"/>
  <c r="D42" i="1"/>
  <c r="H43" i="1" s="1"/>
  <c r="B43" i="1"/>
  <c r="C43" i="1"/>
  <c r="G53" i="1" s="1"/>
  <c r="D43" i="1"/>
  <c r="H53" i="1" s="1"/>
  <c r="B44" i="1"/>
  <c r="C44" i="1"/>
  <c r="D44" i="1"/>
  <c r="B45" i="1"/>
  <c r="F34" i="1" s="1"/>
  <c r="C45" i="1"/>
  <c r="G34" i="1" s="1"/>
  <c r="D45" i="1"/>
  <c r="H34" i="1" s="1"/>
  <c r="B46" i="1"/>
  <c r="C46" i="1"/>
  <c r="D46" i="1"/>
  <c r="B47" i="1"/>
  <c r="C47" i="1"/>
  <c r="D47" i="1"/>
  <c r="H44" i="1" s="1"/>
  <c r="B48" i="1"/>
  <c r="C48" i="1"/>
  <c r="G35" i="1" s="1"/>
  <c r="D48" i="1"/>
  <c r="H35" i="1" s="1"/>
  <c r="B49" i="1"/>
  <c r="C49" i="1"/>
  <c r="G45" i="1" s="1"/>
  <c r="D49" i="1"/>
  <c r="H45" i="1" s="1"/>
  <c r="B50" i="1"/>
  <c r="C50" i="1"/>
  <c r="G37" i="1" s="1"/>
  <c r="D50" i="1"/>
  <c r="H37" i="1" s="1"/>
  <c r="B51" i="1"/>
  <c r="F51" i="1" s="1"/>
  <c r="C51" i="1"/>
  <c r="G51" i="1" s="1"/>
  <c r="D51" i="1"/>
  <c r="B52" i="1"/>
  <c r="C52" i="1"/>
  <c r="G40" i="1" s="1"/>
  <c r="D52" i="1"/>
  <c r="H40" i="1" s="1"/>
  <c r="B53" i="1"/>
  <c r="C53" i="1"/>
  <c r="D53" i="1"/>
  <c r="H52" i="1" s="1"/>
  <c r="B54" i="1"/>
  <c r="F47" i="1" s="1"/>
  <c r="C54" i="1"/>
  <c r="G47" i="1" s="1"/>
  <c r="D54" i="1"/>
  <c r="H47" i="1" s="1"/>
  <c r="B55" i="1"/>
  <c r="F55" i="1" s="1"/>
  <c r="C55" i="1"/>
  <c r="G39" i="1" s="1"/>
  <c r="D55" i="1"/>
  <c r="H39" i="1" s="1"/>
  <c r="B56" i="1"/>
  <c r="F57" i="1" s="1"/>
  <c r="C56" i="1"/>
  <c r="G57" i="1" s="1"/>
  <c r="D56" i="1"/>
  <c r="H57" i="1" s="1"/>
  <c r="B57" i="1"/>
  <c r="C57" i="1"/>
  <c r="G42" i="1" s="1"/>
  <c r="D57" i="1"/>
  <c r="H42" i="1" s="1"/>
  <c r="D33" i="1"/>
  <c r="H36" i="1" s="1"/>
  <c r="B33" i="1"/>
  <c r="C33" i="1"/>
  <c r="F40" i="1" l="1"/>
  <c r="F49" i="1"/>
  <c r="F53" i="1"/>
  <c r="F44" i="1"/>
  <c r="F39" i="1"/>
  <c r="F52" i="1"/>
  <c r="F35" i="1"/>
  <c r="F33" i="1"/>
  <c r="F54" i="1"/>
  <c r="F43" i="1"/>
  <c r="F48" i="1"/>
  <c r="F38" i="1"/>
  <c r="F37" i="1"/>
  <c r="F56" i="1"/>
  <c r="F46" i="1"/>
  <c r="F42" i="1"/>
  <c r="F45" i="1"/>
  <c r="F50" i="1"/>
  <c r="F36" i="1"/>
</calcChain>
</file>

<file path=xl/sharedStrings.xml><?xml version="1.0" encoding="utf-8"?>
<sst xmlns="http://schemas.openxmlformats.org/spreadsheetml/2006/main" count="72" uniqueCount="46">
  <si>
    <t>Department</t>
  </si>
  <si>
    <t>Total_Beds</t>
  </si>
  <si>
    <t>Free_Beds</t>
  </si>
  <si>
    <t>Total_ICU_Beds</t>
  </si>
  <si>
    <t>Free_ICU_Beds</t>
  </si>
  <si>
    <t>Total_Amount_of_Beds</t>
  </si>
  <si>
    <t>Staff_On_Duty</t>
  </si>
  <si>
    <t>Occupied_Beds</t>
  </si>
  <si>
    <t>Occupied_ICU_Beds</t>
  </si>
  <si>
    <t>Emergency Department (ED)</t>
  </si>
  <si>
    <t>Trauma Center</t>
  </si>
  <si>
    <t>General Surgery</t>
  </si>
  <si>
    <t>Cardiac Surgery</t>
  </si>
  <si>
    <t>Neurosurgery</t>
  </si>
  <si>
    <t>Orthopedic Surgery</t>
  </si>
  <si>
    <t>Internal Medicine</t>
  </si>
  <si>
    <t>Cardiology</t>
  </si>
  <si>
    <t>Neurology</t>
  </si>
  <si>
    <t>Gastroenterology</t>
  </si>
  <si>
    <t>Pulmonology</t>
  </si>
  <si>
    <t>Infectious Diseases</t>
  </si>
  <si>
    <t>Oncology</t>
  </si>
  <si>
    <t>Nephrology</t>
  </si>
  <si>
    <t>Endocrinology</t>
  </si>
  <si>
    <t>Pediatrics General</t>
  </si>
  <si>
    <t>Pediatric ICU (PICU)</t>
  </si>
  <si>
    <t>Neonatal ICU (NICU)</t>
  </si>
  <si>
    <t>Obstetrics &amp; Gynecology (O&amp;G)</t>
  </si>
  <si>
    <t>Burn Unit</t>
  </si>
  <si>
    <t>Transplant Unit</t>
  </si>
  <si>
    <t>Rehabilitation Unit</t>
  </si>
  <si>
    <t>Psychiatry</t>
  </si>
  <si>
    <t>Long-Term Care</t>
  </si>
  <si>
    <t>Palliative Care</t>
  </si>
  <si>
    <t xml:space="preserve">Metrics </t>
  </si>
  <si>
    <t>Total Occupancy %</t>
  </si>
  <si>
    <t>Total ICU Occupancy %</t>
  </si>
  <si>
    <t>Total Non-ICU Occupancy %</t>
  </si>
  <si>
    <t>Total Occupancy Helper</t>
  </si>
  <si>
    <t>Total ICU Occupancy Helper</t>
  </si>
  <si>
    <t>Total Non-ICU Occupancy Helper</t>
  </si>
  <si>
    <t>Bed Occupancy in Tertiary Hospital by Department</t>
  </si>
  <si>
    <t>Total Occupancy Rate</t>
  </si>
  <si>
    <t>Total ICU Occupancy Rate</t>
  </si>
  <si>
    <t>Total Non-ICU Occupancy Rate</t>
  </si>
  <si>
    <t>Occupancy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</si>
</sst>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Segoe UI"/>
      <family val="2"/>
    </font>
    <font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19" fillId="0" borderId="0" xfId="0" applyFont="1" applyAlignment="1">
      <alignment horizontal="center"/>
    </xf>
    <xf numFmtId="0" fontId="17" fillId="0" borderId="0" xfId="0" applyFont="1"/>
    <xf numFmtId="9" fontId="0" fillId="0" borderId="0" xfId="1" applyFont="1"/>
    <xf numFmtId="0" fontId="0" fillId="0" borderId="0" xfId="0" applyAlignment="1">
      <alignment horizontal="center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9E73"/>
      <color rgb="FFD55E00"/>
      <color rgb="FF007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Hospital_Bed_Capacity_ExcelAnal!$B$32</c:f>
              <c:strCache>
                <c:ptCount val="1"/>
                <c:pt idx="0">
                  <c:v>Total Occupancy Rate</c:v>
                </c:pt>
              </c:strCache>
            </c:strRef>
          </c:tx>
          <c:spPr>
            <a:solidFill>
              <a:srgbClr val="009E73"/>
            </a:solidFill>
            <a:ln>
              <a:noFill/>
            </a:ln>
            <a:effectLst/>
          </c:spPr>
          <c:invertIfNegative val="0"/>
          <c:cat>
            <c:strRef>
              <c:f>Hospital_Bed_Capacity_ExcelAnal!$A$33:$A$57</c:f>
              <c:strCache>
                <c:ptCount val="25"/>
                <c:pt idx="0">
                  <c:v>Emergency Department (ED)</c:v>
                </c:pt>
                <c:pt idx="1">
                  <c:v>Trauma Center</c:v>
                </c:pt>
                <c:pt idx="2">
                  <c:v>General Surgery</c:v>
                </c:pt>
                <c:pt idx="3">
                  <c:v>Cardiac Surgery</c:v>
                </c:pt>
                <c:pt idx="4">
                  <c:v>Neurosurgery</c:v>
                </c:pt>
                <c:pt idx="5">
                  <c:v>Orthopedic Surgery</c:v>
                </c:pt>
                <c:pt idx="6">
                  <c:v>Internal Medicine</c:v>
                </c:pt>
                <c:pt idx="7">
                  <c:v>Cardiology</c:v>
                </c:pt>
                <c:pt idx="8">
                  <c:v>Neurology</c:v>
                </c:pt>
                <c:pt idx="9">
                  <c:v>Gastroenterology</c:v>
                </c:pt>
                <c:pt idx="10">
                  <c:v>Pulmonology</c:v>
                </c:pt>
                <c:pt idx="11">
                  <c:v>Infectious Diseases</c:v>
                </c:pt>
                <c:pt idx="12">
                  <c:v>Oncology</c:v>
                </c:pt>
                <c:pt idx="13">
                  <c:v>Nephrology</c:v>
                </c:pt>
                <c:pt idx="14">
                  <c:v>Endocrinology</c:v>
                </c:pt>
                <c:pt idx="15">
                  <c:v>Pediatrics General</c:v>
                </c:pt>
                <c:pt idx="16">
                  <c:v>Pediatric ICU (PICU)</c:v>
                </c:pt>
                <c:pt idx="17">
                  <c:v>Neonatal ICU (NICU)</c:v>
                </c:pt>
                <c:pt idx="18">
                  <c:v>Obstetrics &amp; Gynecology (O&amp;G)</c:v>
                </c:pt>
                <c:pt idx="19">
                  <c:v>Burn Unit</c:v>
                </c:pt>
                <c:pt idx="20">
                  <c:v>Transplant Unit</c:v>
                </c:pt>
                <c:pt idx="21">
                  <c:v>Rehabilitation Unit</c:v>
                </c:pt>
                <c:pt idx="22">
                  <c:v>Psychiatry</c:v>
                </c:pt>
                <c:pt idx="23">
                  <c:v>Long-Term Care</c:v>
                </c:pt>
                <c:pt idx="24">
                  <c:v>Palliative Care</c:v>
                </c:pt>
              </c:strCache>
            </c:strRef>
          </c:cat>
          <c:val>
            <c:numRef>
              <c:f>Hospital_Bed_Capacity_ExcelAnal!$F$33:$F$57</c:f>
              <c:numCache>
                <c:formatCode>0%</c:formatCode>
                <c:ptCount val="25"/>
                <c:pt idx="0">
                  <c:v>0.47727272727272729</c:v>
                </c:pt>
                <c:pt idx="1">
                  <c:v>0.73</c:v>
                </c:pt>
                <c:pt idx="2">
                  <c:v>0.55000000000000004</c:v>
                </c:pt>
                <c:pt idx="3">
                  <c:v>0.61818181818181817</c:v>
                </c:pt>
                <c:pt idx="4">
                  <c:v>0.57727272727272727</c:v>
                </c:pt>
                <c:pt idx="5">
                  <c:v>0.65454545454545454</c:v>
                </c:pt>
                <c:pt idx="6">
                  <c:v>0.74</c:v>
                </c:pt>
                <c:pt idx="7">
                  <c:v>0.43461538461538463</c:v>
                </c:pt>
                <c:pt idx="8">
                  <c:v>0.62083333333333335</c:v>
                </c:pt>
                <c:pt idx="9">
                  <c:v>0.58181818181818179</c:v>
                </c:pt>
                <c:pt idx="10">
                  <c:v>0.65</c:v>
                </c:pt>
                <c:pt idx="11">
                  <c:v>0.6</c:v>
                </c:pt>
                <c:pt idx="12">
                  <c:v>0.43461538461538463</c:v>
                </c:pt>
                <c:pt idx="13">
                  <c:v>0.62</c:v>
                </c:pt>
                <c:pt idx="14">
                  <c:v>0.58333333333333337</c:v>
                </c:pt>
                <c:pt idx="15">
                  <c:v>0.45454545454545453</c:v>
                </c:pt>
                <c:pt idx="16">
                  <c:v>0.6</c:v>
                </c:pt>
                <c:pt idx="17">
                  <c:v>0.55000000000000004</c:v>
                </c:pt>
                <c:pt idx="18">
                  <c:v>0.62307692307692308</c:v>
                </c:pt>
                <c:pt idx="19">
                  <c:v>0.57499999999999996</c:v>
                </c:pt>
                <c:pt idx="20">
                  <c:v>0.65</c:v>
                </c:pt>
                <c:pt idx="21">
                  <c:v>0.6</c:v>
                </c:pt>
                <c:pt idx="22">
                  <c:v>0.55000000000000004</c:v>
                </c:pt>
                <c:pt idx="23">
                  <c:v>0.7846153846153846</c:v>
                </c:pt>
                <c:pt idx="24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D-430D-A69D-E4BF5DABE317}"/>
            </c:ext>
          </c:extLst>
        </c:ser>
        <c:ser>
          <c:idx val="1"/>
          <c:order val="1"/>
          <c:tx>
            <c:strRef>
              <c:f>Hospital_Bed_Capacity_ExcelAnal!$C$32</c:f>
              <c:strCache>
                <c:ptCount val="1"/>
                <c:pt idx="0">
                  <c:v>Total ICU Occupancy Rate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Hospital_Bed_Capacity_ExcelAnal!$A$33:$A$57</c:f>
              <c:strCache>
                <c:ptCount val="25"/>
                <c:pt idx="0">
                  <c:v>Emergency Department (ED)</c:v>
                </c:pt>
                <c:pt idx="1">
                  <c:v>Trauma Center</c:v>
                </c:pt>
                <c:pt idx="2">
                  <c:v>General Surgery</c:v>
                </c:pt>
                <c:pt idx="3">
                  <c:v>Cardiac Surgery</c:v>
                </c:pt>
                <c:pt idx="4">
                  <c:v>Neurosurgery</c:v>
                </c:pt>
                <c:pt idx="5">
                  <c:v>Orthopedic Surgery</c:v>
                </c:pt>
                <c:pt idx="6">
                  <c:v>Internal Medicine</c:v>
                </c:pt>
                <c:pt idx="7">
                  <c:v>Cardiology</c:v>
                </c:pt>
                <c:pt idx="8">
                  <c:v>Neurology</c:v>
                </c:pt>
                <c:pt idx="9">
                  <c:v>Gastroenterology</c:v>
                </c:pt>
                <c:pt idx="10">
                  <c:v>Pulmonology</c:v>
                </c:pt>
                <c:pt idx="11">
                  <c:v>Infectious Diseases</c:v>
                </c:pt>
                <c:pt idx="12">
                  <c:v>Oncology</c:v>
                </c:pt>
                <c:pt idx="13">
                  <c:v>Nephrology</c:v>
                </c:pt>
                <c:pt idx="14">
                  <c:v>Endocrinology</c:v>
                </c:pt>
                <c:pt idx="15">
                  <c:v>Pediatrics General</c:v>
                </c:pt>
                <c:pt idx="16">
                  <c:v>Pediatric ICU (PICU)</c:v>
                </c:pt>
                <c:pt idx="17">
                  <c:v>Neonatal ICU (NICU)</c:v>
                </c:pt>
                <c:pt idx="18">
                  <c:v>Obstetrics &amp; Gynecology (O&amp;G)</c:v>
                </c:pt>
                <c:pt idx="19">
                  <c:v>Burn Unit</c:v>
                </c:pt>
                <c:pt idx="20">
                  <c:v>Transplant Unit</c:v>
                </c:pt>
                <c:pt idx="21">
                  <c:v>Rehabilitation Unit</c:v>
                </c:pt>
                <c:pt idx="22">
                  <c:v>Psychiatry</c:v>
                </c:pt>
                <c:pt idx="23">
                  <c:v>Long-Term Care</c:v>
                </c:pt>
                <c:pt idx="24">
                  <c:v>Palliative Care</c:v>
                </c:pt>
              </c:strCache>
            </c:strRef>
          </c:cat>
          <c:val>
            <c:numRef>
              <c:f>Hospital_Bed_Capacity_ExcelAnal!$G$33:$G$57</c:f>
              <c:numCache>
                <c:formatCode>0%</c:formatCode>
                <c:ptCount val="25"/>
                <c:pt idx="0">
                  <c:v>0.64444444444444449</c:v>
                </c:pt>
                <c:pt idx="1">
                  <c:v>0.6</c:v>
                </c:pt>
                <c:pt idx="2">
                  <c:v>0.55555555555555558</c:v>
                </c:pt>
                <c:pt idx="3">
                  <c:v>0.6166666666666667</c:v>
                </c:pt>
                <c:pt idx="4">
                  <c:v>0.57692307692307687</c:v>
                </c:pt>
                <c:pt idx="5">
                  <c:v>0.66666666666666663</c:v>
                </c:pt>
                <c:pt idx="6">
                  <c:v>0.6</c:v>
                </c:pt>
                <c:pt idx="7">
                  <c:v>0.55000000000000004</c:v>
                </c:pt>
                <c:pt idx="8">
                  <c:v>0.62222222222222223</c:v>
                </c:pt>
                <c:pt idx="9">
                  <c:v>0.59090909090909094</c:v>
                </c:pt>
                <c:pt idx="10">
                  <c:v>0.65789473684210531</c:v>
                </c:pt>
                <c:pt idx="11">
                  <c:v>0.6</c:v>
                </c:pt>
                <c:pt idx="12">
                  <c:v>0.55263157894736847</c:v>
                </c:pt>
                <c:pt idx="13">
                  <c:v>0.63636363636363635</c:v>
                </c:pt>
                <c:pt idx="14">
                  <c:v>0.6</c:v>
                </c:pt>
                <c:pt idx="15">
                  <c:v>0.66666666666666663</c:v>
                </c:pt>
                <c:pt idx="16">
                  <c:v>0.6</c:v>
                </c:pt>
                <c:pt idx="17">
                  <c:v>0.55238095238095242</c:v>
                </c:pt>
                <c:pt idx="18">
                  <c:v>0.6333333333333333</c:v>
                </c:pt>
                <c:pt idx="19">
                  <c:v>0.57333333333333336</c:v>
                </c:pt>
                <c:pt idx="20">
                  <c:v>0.65333333333333332</c:v>
                </c:pt>
                <c:pt idx="21">
                  <c:v>0.6</c:v>
                </c:pt>
                <c:pt idx="22">
                  <c:v>0.5</c:v>
                </c:pt>
                <c:pt idx="23">
                  <c:v>0.6</c:v>
                </c:pt>
                <c:pt idx="2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D-430D-A69D-E4BF5DABE317}"/>
            </c:ext>
          </c:extLst>
        </c:ser>
        <c:ser>
          <c:idx val="2"/>
          <c:order val="2"/>
          <c:tx>
            <c:strRef>
              <c:f>Hospital_Bed_Capacity_ExcelAnal!$D$32</c:f>
              <c:strCache>
                <c:ptCount val="1"/>
                <c:pt idx="0">
                  <c:v>Total Non-ICU Occupancy Rate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Hospital_Bed_Capacity_ExcelAnal!$A$33:$A$57</c:f>
              <c:strCache>
                <c:ptCount val="25"/>
                <c:pt idx="0">
                  <c:v>Emergency Department (ED)</c:v>
                </c:pt>
                <c:pt idx="1">
                  <c:v>Trauma Center</c:v>
                </c:pt>
                <c:pt idx="2">
                  <c:v>General Surgery</c:v>
                </c:pt>
                <c:pt idx="3">
                  <c:v>Cardiac Surgery</c:v>
                </c:pt>
                <c:pt idx="4">
                  <c:v>Neurosurgery</c:v>
                </c:pt>
                <c:pt idx="5">
                  <c:v>Orthopedic Surgery</c:v>
                </c:pt>
                <c:pt idx="6">
                  <c:v>Internal Medicine</c:v>
                </c:pt>
                <c:pt idx="7">
                  <c:v>Cardiology</c:v>
                </c:pt>
                <c:pt idx="8">
                  <c:v>Neurology</c:v>
                </c:pt>
                <c:pt idx="9">
                  <c:v>Gastroenterology</c:v>
                </c:pt>
                <c:pt idx="10">
                  <c:v>Pulmonology</c:v>
                </c:pt>
                <c:pt idx="11">
                  <c:v>Infectious Diseases</c:v>
                </c:pt>
                <c:pt idx="12">
                  <c:v>Oncology</c:v>
                </c:pt>
                <c:pt idx="13">
                  <c:v>Nephrology</c:v>
                </c:pt>
                <c:pt idx="14">
                  <c:v>Endocrinology</c:v>
                </c:pt>
                <c:pt idx="15">
                  <c:v>Pediatrics General</c:v>
                </c:pt>
                <c:pt idx="16">
                  <c:v>Pediatric ICU (PICU)</c:v>
                </c:pt>
                <c:pt idx="17">
                  <c:v>Neonatal ICU (NICU)</c:v>
                </c:pt>
                <c:pt idx="18">
                  <c:v>Obstetrics &amp; Gynecology (O&amp;G)</c:v>
                </c:pt>
                <c:pt idx="19">
                  <c:v>Burn Unit</c:v>
                </c:pt>
                <c:pt idx="20">
                  <c:v>Transplant Unit</c:v>
                </c:pt>
                <c:pt idx="21">
                  <c:v>Rehabilitation Unit</c:v>
                </c:pt>
                <c:pt idx="22">
                  <c:v>Psychiatry</c:v>
                </c:pt>
                <c:pt idx="23">
                  <c:v>Long-Term Care</c:v>
                </c:pt>
                <c:pt idx="24">
                  <c:v>Palliative Care</c:v>
                </c:pt>
              </c:strCache>
            </c:strRef>
          </c:cat>
          <c:val>
            <c:numRef>
              <c:f>Hospital_Bed_Capacity_ExcelAnal!$H$33:$H$57</c:f>
              <c:numCache>
                <c:formatCode>0%</c:formatCode>
                <c:ptCount val="25"/>
                <c:pt idx="0">
                  <c:v>0.34545454545454546</c:v>
                </c:pt>
                <c:pt idx="1">
                  <c:v>0.55000000000000004</c:v>
                </c:pt>
                <c:pt idx="2">
                  <c:v>0.43636363636363634</c:v>
                </c:pt>
                <c:pt idx="3">
                  <c:v>0.45</c:v>
                </c:pt>
                <c:pt idx="4">
                  <c:v>0.44090909090909092</c:v>
                </c:pt>
                <c:pt idx="5">
                  <c:v>0.5636363636363636</c:v>
                </c:pt>
                <c:pt idx="6">
                  <c:v>0.65</c:v>
                </c:pt>
                <c:pt idx="7">
                  <c:v>0.30769230769230771</c:v>
                </c:pt>
                <c:pt idx="8">
                  <c:v>0.50416666666666665</c:v>
                </c:pt>
                <c:pt idx="9">
                  <c:v>0.52272727272727271</c:v>
                </c:pt>
                <c:pt idx="10">
                  <c:v>0.54583333333333328</c:v>
                </c:pt>
                <c:pt idx="11">
                  <c:v>0.47727272727272729</c:v>
                </c:pt>
                <c:pt idx="12">
                  <c:v>0.35384615384615387</c:v>
                </c:pt>
                <c:pt idx="13">
                  <c:v>0.55000000000000004</c:v>
                </c:pt>
                <c:pt idx="14">
                  <c:v>0.53333333333333333</c:v>
                </c:pt>
                <c:pt idx="15">
                  <c:v>0.36363636363636365</c:v>
                </c:pt>
                <c:pt idx="16">
                  <c:v>0.26250000000000001</c:v>
                </c:pt>
                <c:pt idx="17">
                  <c:v>0.22777777777777777</c:v>
                </c:pt>
                <c:pt idx="18">
                  <c:v>0.55000000000000004</c:v>
                </c:pt>
                <c:pt idx="19">
                  <c:v>0.30625000000000002</c:v>
                </c:pt>
                <c:pt idx="20">
                  <c:v>0.34375</c:v>
                </c:pt>
                <c:pt idx="21">
                  <c:v>0.55909090909090908</c:v>
                </c:pt>
                <c:pt idx="22">
                  <c:v>0.5346153846153846</c:v>
                </c:pt>
                <c:pt idx="23">
                  <c:v>0.75</c:v>
                </c:pt>
                <c:pt idx="24">
                  <c:v>0.53500000000000003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8D-430D-A69D-E4BF5DABE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317615"/>
        <c:axId val="28319535"/>
      </c:barChart>
      <c:catAx>
        <c:axId val="2831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9535"/>
        <c:crosses val="autoZero"/>
        <c:auto val="1"/>
        <c:lblAlgn val="ctr"/>
        <c:lblOffset val="100"/>
        <c:noMultiLvlLbl val="0"/>
      </c:catAx>
      <c:valAx>
        <c:axId val="2831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R$4" lockText="1"/>
</file>

<file path=xl/ctrlProps/ctrlProp2.xml><?xml version="1.0" encoding="utf-8"?>
<formControlPr xmlns="http://schemas.microsoft.com/office/spreadsheetml/2009/9/main" objectType="CheckBox" checked="Checked" fmlaLink="$R$6" lockText="1"/>
</file>

<file path=xl/ctrlProps/ctrlProp3.xml><?xml version="1.0" encoding="utf-8"?>
<formControlPr xmlns="http://schemas.microsoft.com/office/spreadsheetml/2009/9/main" objectType="CheckBox" checked="Checked" fmlaLink="$R$5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3</xdr:row>
      <xdr:rowOff>12700</xdr:rowOff>
    </xdr:from>
    <xdr:to>
      <xdr:col>14</xdr:col>
      <xdr:colOff>603250</xdr:colOff>
      <xdr:row>52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545946-C9B8-4142-BDC7-EF71A6A28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520700</xdr:colOff>
          <xdr:row>12</xdr:row>
          <xdr:rowOff>152400</xdr:rowOff>
        </xdr:from>
        <xdr:to>
          <xdr:col>3</xdr:col>
          <xdr:colOff>419100</xdr:colOff>
          <xdr:row>13</xdr:row>
          <xdr:rowOff>165100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Total Occupancy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508000</xdr:colOff>
          <xdr:row>14</xdr:row>
          <xdr:rowOff>127000</xdr:rowOff>
        </xdr:from>
        <xdr:to>
          <xdr:col>3</xdr:col>
          <xdr:colOff>406400</xdr:colOff>
          <xdr:row>15</xdr:row>
          <xdr:rowOff>139700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5A2A64EE-0A8A-D9EC-CB0A-81338074D3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Total Non-ICU Occupancy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514350</xdr:colOff>
          <xdr:row>13</xdr:row>
          <xdr:rowOff>139700</xdr:rowOff>
        </xdr:from>
        <xdr:to>
          <xdr:col>3</xdr:col>
          <xdr:colOff>412750</xdr:colOff>
          <xdr:row>14</xdr:row>
          <xdr:rowOff>152400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82BD372A-71C1-125F-CBCC-9479A2FFCE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Total ICU Occupancy Rate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ED54-763E-42D1-9314-1456C4150E63}">
  <dimension ref="A1:I57"/>
  <sheetViews>
    <sheetView topLeftCell="A41" workbookViewId="0">
      <selection activeCell="I52" sqref="I52"/>
    </sheetView>
  </sheetViews>
  <sheetFormatPr defaultRowHeight="14.5" x14ac:dyDescent="0.35"/>
  <cols>
    <col min="1" max="1" width="26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175</v>
      </c>
      <c r="C2">
        <v>99</v>
      </c>
      <c r="D2">
        <v>45</v>
      </c>
      <c r="E2">
        <v>16</v>
      </c>
      <c r="F2">
        <v>220</v>
      </c>
      <c r="G2">
        <v>100</v>
      </c>
      <c r="H2">
        <v>76</v>
      </c>
      <c r="I2">
        <v>29</v>
      </c>
    </row>
    <row r="3" spans="1:9" x14ac:dyDescent="0.35">
      <c r="A3" t="s">
        <v>10</v>
      </c>
      <c r="B3">
        <v>140</v>
      </c>
      <c r="C3">
        <v>30</v>
      </c>
      <c r="D3">
        <v>60</v>
      </c>
      <c r="E3">
        <v>24</v>
      </c>
      <c r="F3">
        <v>200</v>
      </c>
      <c r="G3">
        <v>90</v>
      </c>
      <c r="H3">
        <v>110</v>
      </c>
      <c r="I3">
        <v>36</v>
      </c>
    </row>
    <row r="4" spans="1:9" x14ac:dyDescent="0.35">
      <c r="A4" t="s">
        <v>11</v>
      </c>
      <c r="B4">
        <v>175</v>
      </c>
      <c r="C4">
        <v>79</v>
      </c>
      <c r="D4">
        <v>45</v>
      </c>
      <c r="E4">
        <v>20</v>
      </c>
      <c r="F4">
        <v>220</v>
      </c>
      <c r="G4">
        <v>100</v>
      </c>
      <c r="H4">
        <v>96</v>
      </c>
      <c r="I4">
        <v>25</v>
      </c>
    </row>
    <row r="5" spans="1:9" x14ac:dyDescent="0.35">
      <c r="A5" t="s">
        <v>12</v>
      </c>
      <c r="B5">
        <v>160</v>
      </c>
      <c r="C5">
        <v>61</v>
      </c>
      <c r="D5">
        <v>60</v>
      </c>
      <c r="E5">
        <v>23</v>
      </c>
      <c r="F5">
        <v>220</v>
      </c>
      <c r="G5">
        <v>100</v>
      </c>
      <c r="H5">
        <v>99</v>
      </c>
      <c r="I5">
        <v>37</v>
      </c>
    </row>
    <row r="6" spans="1:9" x14ac:dyDescent="0.35">
      <c r="A6" t="s">
        <v>13</v>
      </c>
      <c r="B6">
        <v>168</v>
      </c>
      <c r="C6">
        <v>71</v>
      </c>
      <c r="D6">
        <v>52</v>
      </c>
      <c r="E6">
        <v>22</v>
      </c>
      <c r="F6">
        <v>220</v>
      </c>
      <c r="G6">
        <v>100</v>
      </c>
      <c r="H6">
        <v>97</v>
      </c>
      <c r="I6">
        <v>30</v>
      </c>
    </row>
    <row r="7" spans="1:9" x14ac:dyDescent="0.35">
      <c r="A7" t="s">
        <v>14</v>
      </c>
      <c r="B7">
        <v>190</v>
      </c>
      <c r="C7">
        <v>66</v>
      </c>
      <c r="D7">
        <v>30</v>
      </c>
      <c r="E7">
        <v>10</v>
      </c>
      <c r="F7">
        <v>220</v>
      </c>
      <c r="G7">
        <v>100</v>
      </c>
      <c r="H7">
        <v>124</v>
      </c>
      <c r="I7">
        <v>20</v>
      </c>
    </row>
    <row r="8" spans="1:9" x14ac:dyDescent="0.35">
      <c r="A8" t="s">
        <v>15</v>
      </c>
      <c r="B8">
        <v>255</v>
      </c>
      <c r="C8">
        <v>60</v>
      </c>
      <c r="D8">
        <v>45</v>
      </c>
      <c r="E8">
        <v>18</v>
      </c>
      <c r="F8">
        <v>300</v>
      </c>
      <c r="G8">
        <v>135</v>
      </c>
      <c r="H8">
        <v>195</v>
      </c>
      <c r="I8">
        <v>27</v>
      </c>
    </row>
    <row r="9" spans="1:9" x14ac:dyDescent="0.35">
      <c r="A9" t="s">
        <v>16</v>
      </c>
      <c r="B9">
        <v>200</v>
      </c>
      <c r="C9">
        <v>120</v>
      </c>
      <c r="D9">
        <v>60</v>
      </c>
      <c r="E9">
        <v>27</v>
      </c>
      <c r="F9">
        <v>260</v>
      </c>
      <c r="G9">
        <v>115</v>
      </c>
      <c r="H9">
        <v>80</v>
      </c>
      <c r="I9">
        <v>33</v>
      </c>
    </row>
    <row r="10" spans="1:9" x14ac:dyDescent="0.35">
      <c r="A10" t="s">
        <v>17</v>
      </c>
      <c r="B10">
        <v>195</v>
      </c>
      <c r="C10">
        <v>74</v>
      </c>
      <c r="D10">
        <v>45</v>
      </c>
      <c r="E10">
        <v>17</v>
      </c>
      <c r="F10">
        <v>240</v>
      </c>
      <c r="G10">
        <v>110</v>
      </c>
      <c r="H10">
        <v>121</v>
      </c>
      <c r="I10">
        <v>28</v>
      </c>
    </row>
    <row r="11" spans="1:9" x14ac:dyDescent="0.35">
      <c r="A11" t="s">
        <v>18</v>
      </c>
      <c r="B11">
        <v>198</v>
      </c>
      <c r="C11">
        <v>83</v>
      </c>
      <c r="D11">
        <v>22</v>
      </c>
      <c r="E11">
        <v>9</v>
      </c>
      <c r="F11">
        <v>220</v>
      </c>
      <c r="G11">
        <v>100</v>
      </c>
      <c r="H11">
        <v>115</v>
      </c>
      <c r="I11">
        <v>13</v>
      </c>
    </row>
    <row r="12" spans="1:9" x14ac:dyDescent="0.35">
      <c r="A12" t="s">
        <v>19</v>
      </c>
      <c r="B12">
        <v>202</v>
      </c>
      <c r="C12">
        <v>71</v>
      </c>
      <c r="D12">
        <v>38</v>
      </c>
      <c r="E12">
        <v>13</v>
      </c>
      <c r="F12">
        <v>240</v>
      </c>
      <c r="G12">
        <v>110</v>
      </c>
      <c r="H12">
        <v>131</v>
      </c>
      <c r="I12">
        <v>25</v>
      </c>
    </row>
    <row r="13" spans="1:9" x14ac:dyDescent="0.35">
      <c r="A13" t="s">
        <v>20</v>
      </c>
      <c r="B13">
        <v>175</v>
      </c>
      <c r="C13">
        <v>70</v>
      </c>
      <c r="D13">
        <v>45</v>
      </c>
      <c r="E13">
        <v>18</v>
      </c>
      <c r="F13">
        <v>220</v>
      </c>
      <c r="G13">
        <v>100</v>
      </c>
      <c r="H13">
        <v>105</v>
      </c>
      <c r="I13">
        <v>27</v>
      </c>
    </row>
    <row r="14" spans="1:9" x14ac:dyDescent="0.35">
      <c r="A14" t="s">
        <v>21</v>
      </c>
      <c r="B14">
        <v>222</v>
      </c>
      <c r="C14">
        <v>130</v>
      </c>
      <c r="D14">
        <v>38</v>
      </c>
      <c r="E14">
        <v>17</v>
      </c>
      <c r="F14">
        <v>260</v>
      </c>
      <c r="G14">
        <v>115</v>
      </c>
      <c r="H14">
        <v>92</v>
      </c>
      <c r="I14">
        <v>21</v>
      </c>
    </row>
    <row r="15" spans="1:9" x14ac:dyDescent="0.35">
      <c r="A15" t="s">
        <v>22</v>
      </c>
      <c r="B15">
        <v>178</v>
      </c>
      <c r="C15">
        <v>68</v>
      </c>
      <c r="D15">
        <v>22</v>
      </c>
      <c r="E15">
        <v>8</v>
      </c>
      <c r="F15">
        <v>200</v>
      </c>
      <c r="G15">
        <v>90</v>
      </c>
      <c r="H15">
        <v>110</v>
      </c>
      <c r="I15">
        <v>14</v>
      </c>
    </row>
    <row r="16" spans="1:9" x14ac:dyDescent="0.35">
      <c r="A16" t="s">
        <v>23</v>
      </c>
      <c r="B16">
        <v>165</v>
      </c>
      <c r="C16">
        <v>69</v>
      </c>
      <c r="D16">
        <v>15</v>
      </c>
      <c r="E16">
        <v>6</v>
      </c>
      <c r="F16">
        <v>180</v>
      </c>
      <c r="G16">
        <v>80</v>
      </c>
      <c r="H16">
        <v>96</v>
      </c>
      <c r="I16">
        <v>9</v>
      </c>
    </row>
    <row r="17" spans="1:9" x14ac:dyDescent="0.35">
      <c r="A17" t="s">
        <v>24</v>
      </c>
      <c r="B17">
        <v>190</v>
      </c>
      <c r="C17">
        <v>110</v>
      </c>
      <c r="D17">
        <v>30</v>
      </c>
      <c r="E17">
        <v>10</v>
      </c>
      <c r="F17">
        <v>220</v>
      </c>
      <c r="G17">
        <v>100</v>
      </c>
      <c r="H17">
        <v>80</v>
      </c>
      <c r="I17">
        <v>20</v>
      </c>
    </row>
    <row r="18" spans="1:9" x14ac:dyDescent="0.35">
      <c r="A18" t="s">
        <v>25</v>
      </c>
      <c r="B18">
        <v>70</v>
      </c>
      <c r="C18">
        <v>28</v>
      </c>
      <c r="D18">
        <v>90</v>
      </c>
      <c r="E18">
        <v>36</v>
      </c>
      <c r="F18">
        <v>160</v>
      </c>
      <c r="G18">
        <v>70</v>
      </c>
      <c r="H18">
        <v>42</v>
      </c>
      <c r="I18">
        <v>54</v>
      </c>
    </row>
    <row r="19" spans="1:9" x14ac:dyDescent="0.35">
      <c r="A19" t="s">
        <v>26</v>
      </c>
      <c r="B19">
        <v>75</v>
      </c>
      <c r="C19">
        <v>34</v>
      </c>
      <c r="D19">
        <v>105</v>
      </c>
      <c r="E19">
        <v>47</v>
      </c>
      <c r="F19">
        <v>180</v>
      </c>
      <c r="G19">
        <v>80</v>
      </c>
      <c r="H19">
        <v>41</v>
      </c>
      <c r="I19">
        <v>58</v>
      </c>
    </row>
    <row r="20" spans="1:9" x14ac:dyDescent="0.35">
      <c r="A20" t="s">
        <v>27</v>
      </c>
      <c r="B20">
        <v>230</v>
      </c>
      <c r="C20">
        <v>87</v>
      </c>
      <c r="D20">
        <v>30</v>
      </c>
      <c r="E20">
        <v>11</v>
      </c>
      <c r="F20">
        <v>260</v>
      </c>
      <c r="G20">
        <v>115</v>
      </c>
      <c r="H20">
        <v>143</v>
      </c>
      <c r="I20">
        <v>19</v>
      </c>
    </row>
    <row r="21" spans="1:9" x14ac:dyDescent="0.35">
      <c r="A21" t="s">
        <v>28</v>
      </c>
      <c r="B21">
        <v>85</v>
      </c>
      <c r="C21">
        <v>36</v>
      </c>
      <c r="D21">
        <v>75</v>
      </c>
      <c r="E21">
        <v>32</v>
      </c>
      <c r="F21">
        <v>160</v>
      </c>
      <c r="G21">
        <v>70</v>
      </c>
      <c r="H21">
        <v>49</v>
      </c>
      <c r="I21">
        <v>43</v>
      </c>
    </row>
    <row r="22" spans="1:9" x14ac:dyDescent="0.35">
      <c r="A22" t="s">
        <v>29</v>
      </c>
      <c r="B22">
        <v>85</v>
      </c>
      <c r="C22">
        <v>30</v>
      </c>
      <c r="D22">
        <v>75</v>
      </c>
      <c r="E22">
        <v>26</v>
      </c>
      <c r="F22">
        <v>160</v>
      </c>
      <c r="G22">
        <v>70</v>
      </c>
      <c r="H22">
        <v>55</v>
      </c>
      <c r="I22">
        <v>49</v>
      </c>
    </row>
    <row r="23" spans="1:9" x14ac:dyDescent="0.35">
      <c r="A23" t="s">
        <v>30</v>
      </c>
      <c r="B23">
        <v>205</v>
      </c>
      <c r="C23">
        <v>82</v>
      </c>
      <c r="D23">
        <v>15</v>
      </c>
      <c r="E23">
        <v>6</v>
      </c>
      <c r="F23">
        <v>220</v>
      </c>
      <c r="G23">
        <v>100</v>
      </c>
      <c r="H23">
        <v>123</v>
      </c>
      <c r="I23">
        <v>9</v>
      </c>
    </row>
    <row r="24" spans="1:9" x14ac:dyDescent="0.35">
      <c r="A24" t="s">
        <v>31</v>
      </c>
      <c r="B24">
        <v>252</v>
      </c>
      <c r="C24">
        <v>113</v>
      </c>
      <c r="D24">
        <v>8</v>
      </c>
      <c r="E24">
        <v>4</v>
      </c>
      <c r="F24">
        <v>260</v>
      </c>
      <c r="G24">
        <v>115</v>
      </c>
      <c r="H24">
        <v>139</v>
      </c>
      <c r="I24">
        <v>4</v>
      </c>
    </row>
    <row r="25" spans="1:9" x14ac:dyDescent="0.35">
      <c r="A25" t="s">
        <v>32</v>
      </c>
      <c r="B25">
        <v>245</v>
      </c>
      <c r="C25">
        <v>50</v>
      </c>
      <c r="D25">
        <v>15</v>
      </c>
      <c r="E25">
        <v>6</v>
      </c>
      <c r="F25">
        <v>260</v>
      </c>
      <c r="G25">
        <v>115</v>
      </c>
      <c r="H25">
        <v>195</v>
      </c>
      <c r="I25">
        <v>9</v>
      </c>
    </row>
    <row r="26" spans="1:9" x14ac:dyDescent="0.35">
      <c r="A26" t="s">
        <v>33</v>
      </c>
      <c r="B26">
        <v>185</v>
      </c>
      <c r="C26">
        <v>78</v>
      </c>
      <c r="D26">
        <v>15</v>
      </c>
      <c r="E26">
        <v>6</v>
      </c>
      <c r="F26">
        <v>200</v>
      </c>
      <c r="G26">
        <v>90</v>
      </c>
      <c r="H26">
        <v>107</v>
      </c>
      <c r="I26">
        <v>9</v>
      </c>
    </row>
    <row r="30" spans="1:9" x14ac:dyDescent="0.35">
      <c r="A30" t="s">
        <v>34</v>
      </c>
    </row>
    <row r="32" spans="1:9" x14ac:dyDescent="0.35">
      <c r="A32" t="s">
        <v>0</v>
      </c>
      <c r="B32" t="s">
        <v>42</v>
      </c>
      <c r="C32" t="s">
        <v>43</v>
      </c>
      <c r="D32" t="s">
        <v>44</v>
      </c>
      <c r="F32" t="s">
        <v>38</v>
      </c>
      <c r="G32" t="s">
        <v>39</v>
      </c>
      <c r="H32" t="s">
        <v>40</v>
      </c>
    </row>
    <row r="33" spans="1:8" x14ac:dyDescent="0.35">
      <c r="A33" t="s">
        <v>9</v>
      </c>
      <c r="B33" s="1">
        <f>((B2-C2)+(D2-E2))/F2</f>
        <v>0.47727272727272729</v>
      </c>
      <c r="C33" s="1">
        <f>(D2-E2)/D2</f>
        <v>0.64444444444444449</v>
      </c>
      <c r="D33" s="1">
        <f>(B2-C2)/F2</f>
        <v>0.34545454545454546</v>
      </c>
      <c r="E33" s="4"/>
      <c r="F33" s="4">
        <f>IF(Sheet1!$R$4,Hospital_Bed_Capacity_ExcelAnal!B33,NA())</f>
        <v>0.47727272727272729</v>
      </c>
      <c r="G33" s="4">
        <f>IF(Sheet1!$R$5,Hospital_Bed_Capacity_ExcelAnal!C33,NA())</f>
        <v>0.64444444444444449</v>
      </c>
      <c r="H33" s="4">
        <f>IF(Sheet1!$R$6,Hospital_Bed_Capacity_ExcelAnal!D33,NA())</f>
        <v>0.34545454545454546</v>
      </c>
    </row>
    <row r="34" spans="1:8" x14ac:dyDescent="0.35">
      <c r="A34" t="s">
        <v>10</v>
      </c>
      <c r="B34" s="1">
        <f>((B3-C3)+(D3-E3))/F3</f>
        <v>0.73</v>
      </c>
      <c r="C34" s="1">
        <f>(D3-E3)/D3</f>
        <v>0.6</v>
      </c>
      <c r="D34" s="1">
        <f>(B3-C3)/F3</f>
        <v>0.55000000000000004</v>
      </c>
      <c r="E34" s="4"/>
      <c r="F34" s="4">
        <f>IF(Sheet1!$R$4,Hospital_Bed_Capacity_ExcelAnal!B34,NA())</f>
        <v>0.73</v>
      </c>
      <c r="G34" s="4">
        <f>IF(Sheet1!$R$5,Hospital_Bed_Capacity_ExcelAnal!C34,NA())</f>
        <v>0.6</v>
      </c>
      <c r="H34" s="4">
        <f>IF(Sheet1!$R$6,Hospital_Bed_Capacity_ExcelAnal!D34,NA())</f>
        <v>0.55000000000000004</v>
      </c>
    </row>
    <row r="35" spans="1:8" x14ac:dyDescent="0.35">
      <c r="A35" t="s">
        <v>11</v>
      </c>
      <c r="B35" s="1">
        <f>((B4-C4)+(D4-E4))/F4</f>
        <v>0.55000000000000004</v>
      </c>
      <c r="C35" s="1">
        <f>(D4-E4)/D4</f>
        <v>0.55555555555555558</v>
      </c>
      <c r="D35" s="1">
        <f>(B4-C4)/F4</f>
        <v>0.43636363636363634</v>
      </c>
      <c r="E35" s="4"/>
      <c r="F35" s="4">
        <f>IF(Sheet1!$R$4,Hospital_Bed_Capacity_ExcelAnal!B35,NA())</f>
        <v>0.55000000000000004</v>
      </c>
      <c r="G35" s="4">
        <f>IF(Sheet1!$R$5,Hospital_Bed_Capacity_ExcelAnal!C35,NA())</f>
        <v>0.55555555555555558</v>
      </c>
      <c r="H35" s="4">
        <f>IF(Sheet1!$R$6,Hospital_Bed_Capacity_ExcelAnal!D35,NA())</f>
        <v>0.43636363636363634</v>
      </c>
    </row>
    <row r="36" spans="1:8" x14ac:dyDescent="0.35">
      <c r="A36" t="s">
        <v>12</v>
      </c>
      <c r="B36" s="1">
        <f>((B5-C5)+(D5-E5))/F5</f>
        <v>0.61818181818181817</v>
      </c>
      <c r="C36" s="1">
        <f>(D5-E5)/D5</f>
        <v>0.6166666666666667</v>
      </c>
      <c r="D36" s="1">
        <f>(B5-C5)/F5</f>
        <v>0.45</v>
      </c>
      <c r="E36" s="4"/>
      <c r="F36" s="4">
        <f>IF(Sheet1!$R$4,Hospital_Bed_Capacity_ExcelAnal!B36,NA())</f>
        <v>0.61818181818181817</v>
      </c>
      <c r="G36" s="4">
        <f>IF(Sheet1!$R$5,Hospital_Bed_Capacity_ExcelAnal!C36,NA())</f>
        <v>0.6166666666666667</v>
      </c>
      <c r="H36" s="4">
        <f>IF(Sheet1!$R$6,Hospital_Bed_Capacity_ExcelAnal!D36,NA())</f>
        <v>0.45</v>
      </c>
    </row>
    <row r="37" spans="1:8" x14ac:dyDescent="0.35">
      <c r="A37" t="s">
        <v>13</v>
      </c>
      <c r="B37" s="1">
        <f>((B6-C6)+(D6-E6))/F6</f>
        <v>0.57727272727272727</v>
      </c>
      <c r="C37" s="1">
        <f>(D6-E6)/D6</f>
        <v>0.57692307692307687</v>
      </c>
      <c r="D37" s="1">
        <f>(B6-C6)/F6</f>
        <v>0.44090909090909092</v>
      </c>
      <c r="E37" s="4"/>
      <c r="F37" s="4">
        <f>IF(Sheet1!$R$4,Hospital_Bed_Capacity_ExcelAnal!B37,NA())</f>
        <v>0.57727272727272727</v>
      </c>
      <c r="G37" s="4">
        <f>IF(Sheet1!$R$5,Hospital_Bed_Capacity_ExcelAnal!C37,NA())</f>
        <v>0.57692307692307687</v>
      </c>
      <c r="H37" s="4">
        <f>IF(Sheet1!$R$6,Hospital_Bed_Capacity_ExcelAnal!D37,NA())</f>
        <v>0.44090909090909092</v>
      </c>
    </row>
    <row r="38" spans="1:8" x14ac:dyDescent="0.35">
      <c r="A38" t="s">
        <v>14</v>
      </c>
      <c r="B38" s="1">
        <f>((B7-C7)+(D7-E7))/F7</f>
        <v>0.65454545454545454</v>
      </c>
      <c r="C38" s="1">
        <f>(D7-E7)/D7</f>
        <v>0.66666666666666663</v>
      </c>
      <c r="D38" s="1">
        <f>(B7-C7)/F7</f>
        <v>0.5636363636363636</v>
      </c>
      <c r="E38" s="4"/>
      <c r="F38" s="4">
        <f>IF(Sheet1!$R$4,Hospital_Bed_Capacity_ExcelAnal!B38,NA())</f>
        <v>0.65454545454545454</v>
      </c>
      <c r="G38" s="4">
        <f>IF(Sheet1!$R$5,Hospital_Bed_Capacity_ExcelAnal!C38,NA())</f>
        <v>0.66666666666666663</v>
      </c>
      <c r="H38" s="4">
        <f>IF(Sheet1!$R$6,Hospital_Bed_Capacity_ExcelAnal!D38,NA())</f>
        <v>0.5636363636363636</v>
      </c>
    </row>
    <row r="39" spans="1:8" x14ac:dyDescent="0.35">
      <c r="A39" t="s">
        <v>15</v>
      </c>
      <c r="B39" s="1">
        <f>((B8-C8)+(D8-E8))/F8</f>
        <v>0.74</v>
      </c>
      <c r="C39" s="1">
        <f>(D8-E8)/D8</f>
        <v>0.6</v>
      </c>
      <c r="D39" s="1">
        <f>(B8-C8)/F8</f>
        <v>0.65</v>
      </c>
      <c r="E39" s="4"/>
      <c r="F39" s="4">
        <f>IF(Sheet1!$R$4,Hospital_Bed_Capacity_ExcelAnal!B39,NA())</f>
        <v>0.74</v>
      </c>
      <c r="G39" s="4">
        <f>IF(Sheet1!$R$5,Hospital_Bed_Capacity_ExcelAnal!C39,NA())</f>
        <v>0.6</v>
      </c>
      <c r="H39" s="4">
        <f>IF(Sheet1!$R$6,Hospital_Bed_Capacity_ExcelAnal!D39,NA())</f>
        <v>0.65</v>
      </c>
    </row>
    <row r="40" spans="1:8" x14ac:dyDescent="0.35">
      <c r="A40" t="s">
        <v>16</v>
      </c>
      <c r="B40" s="1">
        <f>((B9-C9)+(D9-E9))/F9</f>
        <v>0.43461538461538463</v>
      </c>
      <c r="C40" s="1">
        <f>(D9-E9)/D9</f>
        <v>0.55000000000000004</v>
      </c>
      <c r="D40" s="1">
        <f>(B9-C9)/F9</f>
        <v>0.30769230769230771</v>
      </c>
      <c r="E40" s="4"/>
      <c r="F40" s="4">
        <f>IF(Sheet1!$R$4,Hospital_Bed_Capacity_ExcelAnal!B40,NA())</f>
        <v>0.43461538461538463</v>
      </c>
      <c r="G40" s="4">
        <f>IF(Sheet1!$R$5,Hospital_Bed_Capacity_ExcelAnal!C40,NA())</f>
        <v>0.55000000000000004</v>
      </c>
      <c r="H40" s="4">
        <f>IF(Sheet1!$R$6,Hospital_Bed_Capacity_ExcelAnal!D40,NA())</f>
        <v>0.30769230769230771</v>
      </c>
    </row>
    <row r="41" spans="1:8" x14ac:dyDescent="0.35">
      <c r="A41" t="s">
        <v>17</v>
      </c>
      <c r="B41" s="1">
        <f>((B10-C10)+(D10-E10))/F10</f>
        <v>0.62083333333333335</v>
      </c>
      <c r="C41" s="1">
        <f>(D10-E10)/D10</f>
        <v>0.62222222222222223</v>
      </c>
      <c r="D41" s="1">
        <f>(B10-C10)/F10</f>
        <v>0.50416666666666665</v>
      </c>
      <c r="E41" s="4"/>
      <c r="F41" s="4">
        <f>IF(Sheet1!$R$4,Hospital_Bed_Capacity_ExcelAnal!B41,NA())</f>
        <v>0.62083333333333335</v>
      </c>
      <c r="G41" s="4">
        <f>IF(Sheet1!$R$5,Hospital_Bed_Capacity_ExcelAnal!C41,NA())</f>
        <v>0.62222222222222223</v>
      </c>
      <c r="H41" s="4">
        <f>IF(Sheet1!$R$6,Hospital_Bed_Capacity_ExcelAnal!D41,NA())</f>
        <v>0.50416666666666665</v>
      </c>
    </row>
    <row r="42" spans="1:8" x14ac:dyDescent="0.35">
      <c r="A42" t="s">
        <v>18</v>
      </c>
      <c r="B42" s="1">
        <f>((B11-C11)+(D11-E11))/F11</f>
        <v>0.58181818181818179</v>
      </c>
      <c r="C42" s="1">
        <f>(D11-E11)/D11</f>
        <v>0.59090909090909094</v>
      </c>
      <c r="D42" s="1">
        <f>(B11-C11)/F11</f>
        <v>0.52272727272727271</v>
      </c>
      <c r="E42" s="4"/>
      <c r="F42" s="4">
        <f>IF(Sheet1!$R$4,Hospital_Bed_Capacity_ExcelAnal!B42,NA())</f>
        <v>0.58181818181818179</v>
      </c>
      <c r="G42" s="4">
        <f>IF(Sheet1!$R$5,Hospital_Bed_Capacity_ExcelAnal!C42,NA())</f>
        <v>0.59090909090909094</v>
      </c>
      <c r="H42" s="4">
        <f>IF(Sheet1!$R$6,Hospital_Bed_Capacity_ExcelAnal!D42,NA())</f>
        <v>0.52272727272727271</v>
      </c>
    </row>
    <row r="43" spans="1:8" x14ac:dyDescent="0.35">
      <c r="A43" t="s">
        <v>19</v>
      </c>
      <c r="B43" s="1">
        <f>((B12-C12)+(D12-E12))/F12</f>
        <v>0.65</v>
      </c>
      <c r="C43" s="1">
        <f>(D12-E12)/D12</f>
        <v>0.65789473684210531</v>
      </c>
      <c r="D43" s="1">
        <f>(B12-C12)/F12</f>
        <v>0.54583333333333328</v>
      </c>
      <c r="E43" s="4"/>
      <c r="F43" s="4">
        <f>IF(Sheet1!$R$4,Hospital_Bed_Capacity_ExcelAnal!B43,NA())</f>
        <v>0.65</v>
      </c>
      <c r="G43" s="4">
        <f>IF(Sheet1!$R$5,Hospital_Bed_Capacity_ExcelAnal!C43,NA())</f>
        <v>0.65789473684210531</v>
      </c>
      <c r="H43" s="4">
        <f>IF(Sheet1!$R$6,Hospital_Bed_Capacity_ExcelAnal!D43,NA())</f>
        <v>0.54583333333333328</v>
      </c>
    </row>
    <row r="44" spans="1:8" x14ac:dyDescent="0.35">
      <c r="A44" t="s">
        <v>20</v>
      </c>
      <c r="B44" s="1">
        <f>((B13-C13)+(D13-E13))/F13</f>
        <v>0.6</v>
      </c>
      <c r="C44" s="1">
        <f>(D13-E13)/D13</f>
        <v>0.6</v>
      </c>
      <c r="D44" s="1">
        <f>(B13-C13)/F13</f>
        <v>0.47727272727272729</v>
      </c>
      <c r="E44" s="4"/>
      <c r="F44" s="4">
        <f>IF(Sheet1!$R$4,Hospital_Bed_Capacity_ExcelAnal!B44,NA())</f>
        <v>0.6</v>
      </c>
      <c r="G44" s="4">
        <f>IF(Sheet1!$R$5,Hospital_Bed_Capacity_ExcelAnal!C44,NA())</f>
        <v>0.6</v>
      </c>
      <c r="H44" s="4">
        <f>IF(Sheet1!$R$6,Hospital_Bed_Capacity_ExcelAnal!D44,NA())</f>
        <v>0.47727272727272729</v>
      </c>
    </row>
    <row r="45" spans="1:8" x14ac:dyDescent="0.35">
      <c r="A45" t="s">
        <v>21</v>
      </c>
      <c r="B45" s="1">
        <f>((B14-C14)+(D14-E14))/F14</f>
        <v>0.43461538461538463</v>
      </c>
      <c r="C45" s="1">
        <f>(D14-E14)/D14</f>
        <v>0.55263157894736847</v>
      </c>
      <c r="D45" s="1">
        <f>(B14-C14)/F14</f>
        <v>0.35384615384615387</v>
      </c>
      <c r="E45" s="4"/>
      <c r="F45" s="4">
        <f>IF(Sheet1!$R$4,Hospital_Bed_Capacity_ExcelAnal!B45,NA())</f>
        <v>0.43461538461538463</v>
      </c>
      <c r="G45" s="4">
        <f>IF(Sheet1!$R$5,Hospital_Bed_Capacity_ExcelAnal!C45,NA())</f>
        <v>0.55263157894736847</v>
      </c>
      <c r="H45" s="4">
        <f>IF(Sheet1!$R$6,Hospital_Bed_Capacity_ExcelAnal!D45,NA())</f>
        <v>0.35384615384615387</v>
      </c>
    </row>
    <row r="46" spans="1:8" x14ac:dyDescent="0.35">
      <c r="A46" t="s">
        <v>22</v>
      </c>
      <c r="B46" s="1">
        <f>((B15-C15)+(D15-E15))/F15</f>
        <v>0.62</v>
      </c>
      <c r="C46" s="1">
        <f>(D15-E15)/D15</f>
        <v>0.63636363636363635</v>
      </c>
      <c r="D46" s="1">
        <f>(B15-C15)/F15</f>
        <v>0.55000000000000004</v>
      </c>
      <c r="E46" s="4"/>
      <c r="F46" s="4">
        <f>IF(Sheet1!$R$4,Hospital_Bed_Capacity_ExcelAnal!B46,NA())</f>
        <v>0.62</v>
      </c>
      <c r="G46" s="4">
        <f>IF(Sheet1!$R$5,Hospital_Bed_Capacity_ExcelAnal!C46,NA())</f>
        <v>0.63636363636363635</v>
      </c>
      <c r="H46" s="4">
        <f>IF(Sheet1!$R$6,Hospital_Bed_Capacity_ExcelAnal!D46,NA())</f>
        <v>0.55000000000000004</v>
      </c>
    </row>
    <row r="47" spans="1:8" x14ac:dyDescent="0.35">
      <c r="A47" t="s">
        <v>23</v>
      </c>
      <c r="B47" s="1">
        <f>((B16-C16)+(D16-E16))/F16</f>
        <v>0.58333333333333337</v>
      </c>
      <c r="C47" s="1">
        <f>(D16-E16)/D16</f>
        <v>0.6</v>
      </c>
      <c r="D47" s="1">
        <f>(B16-C16)/F16</f>
        <v>0.53333333333333333</v>
      </c>
      <c r="E47" s="4"/>
      <c r="F47" s="4">
        <f>IF(Sheet1!$R$4,Hospital_Bed_Capacity_ExcelAnal!B47,NA())</f>
        <v>0.58333333333333337</v>
      </c>
      <c r="G47" s="4">
        <f>IF(Sheet1!$R$5,Hospital_Bed_Capacity_ExcelAnal!C47,NA())</f>
        <v>0.6</v>
      </c>
      <c r="H47" s="4">
        <f>IF(Sheet1!$R$6,Hospital_Bed_Capacity_ExcelAnal!D47,NA())</f>
        <v>0.53333333333333333</v>
      </c>
    </row>
    <row r="48" spans="1:8" x14ac:dyDescent="0.35">
      <c r="A48" t="s">
        <v>24</v>
      </c>
      <c r="B48" s="1">
        <f>((B17-C17)+(D17-E17))/F17</f>
        <v>0.45454545454545453</v>
      </c>
      <c r="C48" s="1">
        <f>(D17-E17)/D17</f>
        <v>0.66666666666666663</v>
      </c>
      <c r="D48" s="1">
        <f>(B17-C17)/F17</f>
        <v>0.36363636363636365</v>
      </c>
      <c r="E48" s="4"/>
      <c r="F48" s="4">
        <f>IF(Sheet1!$R$4,Hospital_Bed_Capacity_ExcelAnal!B48,NA())</f>
        <v>0.45454545454545453</v>
      </c>
      <c r="G48" s="4">
        <f>IF(Sheet1!$R$5,Hospital_Bed_Capacity_ExcelAnal!C48,NA())</f>
        <v>0.66666666666666663</v>
      </c>
      <c r="H48" s="4">
        <f>IF(Sheet1!$R$6,Hospital_Bed_Capacity_ExcelAnal!D48,NA())</f>
        <v>0.36363636363636365</v>
      </c>
    </row>
    <row r="49" spans="1:8" x14ac:dyDescent="0.35">
      <c r="A49" t="s">
        <v>25</v>
      </c>
      <c r="B49" s="1">
        <f>((B18-C18)+(D18-E18))/F18</f>
        <v>0.6</v>
      </c>
      <c r="C49" s="1">
        <f>(D18-E18)/D18</f>
        <v>0.6</v>
      </c>
      <c r="D49" s="1">
        <f>(B18-C18)/F18</f>
        <v>0.26250000000000001</v>
      </c>
      <c r="E49" s="4"/>
      <c r="F49" s="4">
        <f>IF(Sheet1!$R$4,Hospital_Bed_Capacity_ExcelAnal!B49,NA())</f>
        <v>0.6</v>
      </c>
      <c r="G49" s="4">
        <f>IF(Sheet1!$R$5,Hospital_Bed_Capacity_ExcelAnal!C49,NA())</f>
        <v>0.6</v>
      </c>
      <c r="H49" s="4">
        <f>IF(Sheet1!$R$6,Hospital_Bed_Capacity_ExcelAnal!D49,NA())</f>
        <v>0.26250000000000001</v>
      </c>
    </row>
    <row r="50" spans="1:8" x14ac:dyDescent="0.35">
      <c r="A50" t="s">
        <v>26</v>
      </c>
      <c r="B50" s="1">
        <f>((B19-C19)+(D19-E19))/F19</f>
        <v>0.55000000000000004</v>
      </c>
      <c r="C50" s="1">
        <f>(D19-E19)/D19</f>
        <v>0.55238095238095242</v>
      </c>
      <c r="D50" s="1">
        <f>(B19-C19)/F19</f>
        <v>0.22777777777777777</v>
      </c>
      <c r="E50" s="4"/>
      <c r="F50" s="4">
        <f>IF(Sheet1!$R$4,Hospital_Bed_Capacity_ExcelAnal!B50,NA())</f>
        <v>0.55000000000000004</v>
      </c>
      <c r="G50" s="4">
        <f>IF(Sheet1!$R$5,Hospital_Bed_Capacity_ExcelAnal!C50,NA())</f>
        <v>0.55238095238095242</v>
      </c>
      <c r="H50" s="4">
        <f>IF(Sheet1!$R$6,Hospital_Bed_Capacity_ExcelAnal!D50,NA())</f>
        <v>0.22777777777777777</v>
      </c>
    </row>
    <row r="51" spans="1:8" x14ac:dyDescent="0.35">
      <c r="A51" t="s">
        <v>27</v>
      </c>
      <c r="B51" s="1">
        <f>((B20-C20)+(D20-E20))/F20</f>
        <v>0.62307692307692308</v>
      </c>
      <c r="C51" s="1">
        <f>(D20-E20)/D20</f>
        <v>0.6333333333333333</v>
      </c>
      <c r="D51" s="1">
        <f>(B20-C20)/F20</f>
        <v>0.55000000000000004</v>
      </c>
      <c r="E51" s="4"/>
      <c r="F51" s="4">
        <f>IF(Sheet1!$R$4,Hospital_Bed_Capacity_ExcelAnal!B51,NA())</f>
        <v>0.62307692307692308</v>
      </c>
      <c r="G51" s="4">
        <f>IF(Sheet1!$R$5,Hospital_Bed_Capacity_ExcelAnal!C51,NA())</f>
        <v>0.6333333333333333</v>
      </c>
      <c r="H51" s="4">
        <f>IF(Sheet1!$R$6,Hospital_Bed_Capacity_ExcelAnal!D51,NA())</f>
        <v>0.55000000000000004</v>
      </c>
    </row>
    <row r="52" spans="1:8" x14ac:dyDescent="0.35">
      <c r="A52" t="s">
        <v>28</v>
      </c>
      <c r="B52" s="1">
        <f>((B21-C21)+(D21-E21))/F21</f>
        <v>0.57499999999999996</v>
      </c>
      <c r="C52" s="1">
        <f>(D21-E21)/D21</f>
        <v>0.57333333333333336</v>
      </c>
      <c r="D52" s="1">
        <f>(B21-C21)/F21</f>
        <v>0.30625000000000002</v>
      </c>
      <c r="E52" s="4"/>
      <c r="F52" s="4">
        <f>IF(Sheet1!$R$4,Hospital_Bed_Capacity_ExcelAnal!B52,NA())</f>
        <v>0.57499999999999996</v>
      </c>
      <c r="G52" s="4">
        <f>IF(Sheet1!$R$5,Hospital_Bed_Capacity_ExcelAnal!C52,NA())</f>
        <v>0.57333333333333336</v>
      </c>
      <c r="H52" s="4">
        <f>IF(Sheet1!$R$6,Hospital_Bed_Capacity_ExcelAnal!D52,NA())</f>
        <v>0.30625000000000002</v>
      </c>
    </row>
    <row r="53" spans="1:8" x14ac:dyDescent="0.35">
      <c r="A53" t="s">
        <v>29</v>
      </c>
      <c r="B53" s="1">
        <f>((B22-C22)+(D22-E22))/F22</f>
        <v>0.65</v>
      </c>
      <c r="C53" s="1">
        <f>(D22-E22)/D22</f>
        <v>0.65333333333333332</v>
      </c>
      <c r="D53" s="1">
        <f>(B22-C22)/F22</f>
        <v>0.34375</v>
      </c>
      <c r="E53" s="4"/>
      <c r="F53" s="4">
        <f>IF(Sheet1!$R$4,Hospital_Bed_Capacity_ExcelAnal!B53,NA())</f>
        <v>0.65</v>
      </c>
      <c r="G53" s="4">
        <f>IF(Sheet1!$R$5,Hospital_Bed_Capacity_ExcelAnal!C53,NA())</f>
        <v>0.65333333333333332</v>
      </c>
      <c r="H53" s="4">
        <f>IF(Sheet1!$R$6,Hospital_Bed_Capacity_ExcelAnal!D53,NA())</f>
        <v>0.34375</v>
      </c>
    </row>
    <row r="54" spans="1:8" x14ac:dyDescent="0.35">
      <c r="A54" t="s">
        <v>30</v>
      </c>
      <c r="B54" s="1">
        <f>((B23-C23)+(D23-E23))/F23</f>
        <v>0.6</v>
      </c>
      <c r="C54" s="1">
        <f>(D23-E23)/D23</f>
        <v>0.6</v>
      </c>
      <c r="D54" s="1">
        <f>(B23-C23)/F23</f>
        <v>0.55909090909090908</v>
      </c>
      <c r="E54" s="4"/>
      <c r="F54" s="4">
        <f>IF(Sheet1!$R$4,Hospital_Bed_Capacity_ExcelAnal!B54,NA())</f>
        <v>0.6</v>
      </c>
      <c r="G54" s="4">
        <f>IF(Sheet1!$R$5,Hospital_Bed_Capacity_ExcelAnal!C54,NA())</f>
        <v>0.6</v>
      </c>
      <c r="H54" s="4">
        <f>IF(Sheet1!$R$6,Hospital_Bed_Capacity_ExcelAnal!D54,NA())</f>
        <v>0.55909090909090908</v>
      </c>
    </row>
    <row r="55" spans="1:8" x14ac:dyDescent="0.35">
      <c r="A55" t="s">
        <v>31</v>
      </c>
      <c r="B55" s="1">
        <f>((B24-C24)+(D24-E24))/F24</f>
        <v>0.55000000000000004</v>
      </c>
      <c r="C55" s="1">
        <f>(D24-E24)/D24</f>
        <v>0.5</v>
      </c>
      <c r="D55" s="1">
        <f>(B24-C24)/F24</f>
        <v>0.5346153846153846</v>
      </c>
      <c r="E55" s="4"/>
      <c r="F55" s="4">
        <f>IF(Sheet1!$R$4,Hospital_Bed_Capacity_ExcelAnal!B55,NA())</f>
        <v>0.55000000000000004</v>
      </c>
      <c r="G55" s="4">
        <f>IF(Sheet1!$R$5,Hospital_Bed_Capacity_ExcelAnal!C55,NA())</f>
        <v>0.5</v>
      </c>
      <c r="H55" s="4">
        <f>IF(Sheet1!$R$6,Hospital_Bed_Capacity_ExcelAnal!D55,NA())</f>
        <v>0.5346153846153846</v>
      </c>
    </row>
    <row r="56" spans="1:8" x14ac:dyDescent="0.35">
      <c r="A56" t="s">
        <v>32</v>
      </c>
      <c r="B56" s="1">
        <f>((B25-C25)+(D25-E25))/F25</f>
        <v>0.7846153846153846</v>
      </c>
      <c r="C56" s="1">
        <f>(D25-E25)/D25</f>
        <v>0.6</v>
      </c>
      <c r="D56" s="1">
        <f>(B25-C25)/F25</f>
        <v>0.75</v>
      </c>
      <c r="E56" s="4"/>
      <c r="F56" s="4">
        <f>IF(Sheet1!$R$4,Hospital_Bed_Capacity_ExcelAnal!B56,NA())</f>
        <v>0.7846153846153846</v>
      </c>
      <c r="G56" s="4">
        <f>IF(Sheet1!$R$5,Hospital_Bed_Capacity_ExcelAnal!C56,NA())</f>
        <v>0.6</v>
      </c>
      <c r="H56" s="4">
        <f>IF(Sheet1!$R$6,Hospital_Bed_Capacity_ExcelAnal!D56,NA())</f>
        <v>0.75</v>
      </c>
    </row>
    <row r="57" spans="1:8" x14ac:dyDescent="0.35">
      <c r="A57" t="s">
        <v>33</v>
      </c>
      <c r="B57" s="1">
        <f>((B26-C26)+(D26-E26))/F26</f>
        <v>0.57999999999999996</v>
      </c>
      <c r="C57" s="1">
        <f>(D26-E26)/D26</f>
        <v>0.6</v>
      </c>
      <c r="D57" s="1">
        <f>(B26-C26)/F26</f>
        <v>0.53500000000000003</v>
      </c>
      <c r="E57" s="4"/>
      <c r="F57" s="4">
        <f>IF(Sheet1!$R$4,Hospital_Bed_Capacity_ExcelAnal!B57,NA())</f>
        <v>0.57999999999999996</v>
      </c>
      <c r="G57" s="4">
        <f>IF(Sheet1!$R$5,Hospital_Bed_Capacity_ExcelAnal!C57,NA())</f>
        <v>0.6</v>
      </c>
      <c r="H57" s="4">
        <f>IF(Sheet1!$R$6,Hospital_Bed_Capacity_ExcelAnal!D57,NA())</f>
        <v>0.53500000000000003</v>
      </c>
    </row>
  </sheetData>
  <sortState xmlns:xlrd2="http://schemas.microsoft.com/office/spreadsheetml/2017/richdata2" ref="A33:H57">
    <sortCondition ref="B33:B57"/>
    <sortCondition ref="D33:D57"/>
    <sortCondition ref="C33:C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411E-7B14-4D3E-A393-C036B35F3AC1}">
  <dimension ref="A1:R17"/>
  <sheetViews>
    <sheetView tabSelected="1" zoomScale="115" zoomScaleNormal="115" workbookViewId="0">
      <selection activeCell="C10" sqref="C10"/>
    </sheetView>
  </sheetViews>
  <sheetFormatPr defaultRowHeight="14.5" x14ac:dyDescent="0.35"/>
  <cols>
    <col min="17" max="17" width="23.81640625" bestFit="1" customWidth="1"/>
  </cols>
  <sheetData>
    <row r="1" spans="1:18" x14ac:dyDescent="0.35">
      <c r="E1" s="2" t="s">
        <v>41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8" x14ac:dyDescent="0.35"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8" x14ac:dyDescent="0.35"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8" x14ac:dyDescent="0.35">
      <c r="Q4" s="3" t="s">
        <v>35</v>
      </c>
      <c r="R4" s="3" t="b">
        <v>1</v>
      </c>
    </row>
    <row r="5" spans="1:18" x14ac:dyDescent="0.35">
      <c r="Q5" s="3" t="s">
        <v>36</v>
      </c>
      <c r="R5" s="3" t="b">
        <v>1</v>
      </c>
    </row>
    <row r="6" spans="1:18" x14ac:dyDescent="0.35">
      <c r="Q6" s="3" t="s">
        <v>37</v>
      </c>
      <c r="R6" s="3" t="b">
        <v>1</v>
      </c>
    </row>
    <row r="12" spans="1:18" x14ac:dyDescent="0.35">
      <c r="A12" s="5" t="s">
        <v>45</v>
      </c>
      <c r="B12" s="5"/>
      <c r="C12" s="5"/>
      <c r="D12" s="5"/>
    </row>
    <row r="13" spans="1:18" x14ac:dyDescent="0.35">
      <c r="A13" s="5"/>
      <c r="B13" s="5"/>
      <c r="C13" s="5"/>
      <c r="D13" s="5"/>
    </row>
    <row r="14" spans="1:18" x14ac:dyDescent="0.35">
      <c r="A14" s="5"/>
      <c r="B14" s="5"/>
      <c r="C14" s="5"/>
      <c r="D14" s="5"/>
    </row>
    <row r="15" spans="1:18" x14ac:dyDescent="0.35">
      <c r="A15" s="5"/>
      <c r="B15" s="5"/>
      <c r="C15" s="5"/>
      <c r="D15" s="5"/>
    </row>
    <row r="16" spans="1:18" x14ac:dyDescent="0.35">
      <c r="A16" s="5"/>
      <c r="B16" s="5"/>
      <c r="C16" s="5"/>
      <c r="D16" s="5"/>
    </row>
    <row r="17" spans="1:4" x14ac:dyDescent="0.35">
      <c r="A17" s="5"/>
      <c r="B17" s="5"/>
      <c r="C17" s="5"/>
      <c r="D17" s="5"/>
    </row>
  </sheetData>
  <mergeCells count="2">
    <mergeCell ref="E1:O3"/>
    <mergeCell ref="A12:D17"/>
  </mergeCells>
  <dataValidations count="1">
    <dataValidation type="list" allowBlank="1" showInputMessage="1" showErrorMessage="1" sqref="R4:R6" xr:uid="{B1866359-F793-45AB-BF6B-EEBB6E57C1B1}">
      <formula1>"TRUE,FALSE"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Check Box 2">
              <controlPr defaultSize="0" autoFill="0" autoLine="0" autoPict="0">
                <anchor moveWithCells="1">
                  <from>
                    <xdr:col>0</xdr:col>
                    <xdr:colOff>520700</xdr:colOff>
                    <xdr:row>12</xdr:row>
                    <xdr:rowOff>152400</xdr:rowOff>
                  </from>
                  <to>
                    <xdr:col>3</xdr:col>
                    <xdr:colOff>419100</xdr:colOff>
                    <xdr:row>13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0</xdr:col>
                    <xdr:colOff>508000</xdr:colOff>
                    <xdr:row>14</xdr:row>
                    <xdr:rowOff>127000</xdr:rowOff>
                  </from>
                  <to>
                    <xdr:col>3</xdr:col>
                    <xdr:colOff>406400</xdr:colOff>
                    <xdr:row>15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0</xdr:col>
                    <xdr:colOff>514350</xdr:colOff>
                    <xdr:row>13</xdr:row>
                    <xdr:rowOff>139700</xdr:rowOff>
                  </from>
                  <to>
                    <xdr:col>3</xdr:col>
                    <xdr:colOff>412750</xdr:colOff>
                    <xdr:row>14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Hospital_Bed_Capacity_ExcelAnal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Rajasekar</dc:creator>
  <cp:lastModifiedBy>Ganesh Rajasekar</cp:lastModifiedBy>
  <dcterms:created xsi:type="dcterms:W3CDTF">2025-11-20T01:14:40Z</dcterms:created>
  <dcterms:modified xsi:type="dcterms:W3CDTF">2025-11-20T06:27:52Z</dcterms:modified>
</cp:coreProperties>
</file>